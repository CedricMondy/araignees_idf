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7D2AFC21-5582-46EB-887F-C3F185F11F1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<sst xmlns="http://schemas.openxmlformats.org/spreadsheetml/2006/main" count="1588" uniqueCount="936">
  <si>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</si>
  <si>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</si>
  <si>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</si>
  <si>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</si>
  <si>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</si>
  <si>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</si>
  <si>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</si>
  <si>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</si>
  <si>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</si>
  <si>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</si>
  <si>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</si>
  <si>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</si>
  <si>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</si>
  <si>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</si>
  <si>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</si>
  <si>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</si>
  <si>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</si>
  <si>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</si>
  <si>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</si>
  <si>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</si>
  <si>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</si>
  <si>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</si>
  <si>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</si>
  <si>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</si>
  <si>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</si>
  <si>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</si>
  <si>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</si>
  <si>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</si>
  <si>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</si>
  <si>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</si>
  <si>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</si>
  <si>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</si>
  <si>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</si>
  <si>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</si>
  <si>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</si>
  <si>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</si>
  <si>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</si>
  <si>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</si>
  <si>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</si>
  <si>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</si>
  <si>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</si>
  <si>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</si>
  <si>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</si>
  <si>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</si>
  <si>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</si>
  <si>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</si>
  <si>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</si>
  <si>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</si>
  <si>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</si>
  <si>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</si>
  <si>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</si>
  <si>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</si>
  <si>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</si>
  <si>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</si>
  <si>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</si>
  <si>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</si>
  <si>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</si>
  <si>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</si>
  <si>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</si>
  <si>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</si>
  <si>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</si>
  <si>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</si>
  <si>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</si>
  <si>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</si>
  <si>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</si>
  <si>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</si>
  <si>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</si>
  <si>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</si>
  <si>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</si>
  <si>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</si>
  <si>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</si>
  <si>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</si>
  <si>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</si>
  <si>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</si>
  <si>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</si>
  <si>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</si>
  <si>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</si>
  <si>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</si>
  <si>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</si>
  <si>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</si>
  <si>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</si>
  <si>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</si>
  <si>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</si>
  <si>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</si>
  <si>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</si>
  <si>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</si>
  <si>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</si>
  <si>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</si>
  <si>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</si>
  <si>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</si>
  <si>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</si>
  <si>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</si>
  <si>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</si>
  <si>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</si>
  <si>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</si>
  <si>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</si>
  <si>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</si>
  <si>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</si>
  <si>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</si>
  <si>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</si>
  <si>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</si>
  <si>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</si>
  <si>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</si>
  <si>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</si>
  <si>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</si>
  <si>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</si>
  <si>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</si>
  <si>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</si>
  <si>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</si>
  <si>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</si>
  <si>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</si>
  <si>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</si>
  <si>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</si>
  <si>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</si>
  <si>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</si>
  <si>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</si>
  <si>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</si>
  <si>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</si>
  <si>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</si>
  <si>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</si>
  <si>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</si>
  <si>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</si>
  <si>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</si>
  <si>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</si>
  <si>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</si>
  <si>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</si>
  <si>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</si>
  <si>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</si>
  <si>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</si>
  <si>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</si>
  <si>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</si>
  <si>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</si>
  <si>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</si>
  <si>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</si>
  <si>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</si>
  <si>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</si>
  <si>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</si>
  <si>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</si>
  <si>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</si>
  <si>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</si>
  <si>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</si>
  <si>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</si>
  <si>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</si>
  <si>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</si>
  <si>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</si>
  <si>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</si>
  <si>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</si>
  <si>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</si>
  <si>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</si>
  <si>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</si>
  <si>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</si>
  <si>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</si>
  <si>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</si>
  <si>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</si>
  <si>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</si>
  <si>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</si>
  <si>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</si>
  <si>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</si>
  <si>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</si>
  <si>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</si>
  <si>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</si>
  <si>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</si>
  <si>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</si>
  <si>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</si>
  <si>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</si>
  <si>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</si>
  <si>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</si>
  <si>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</si>
  <si>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</si>
  <si>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</si>
  <si>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</si>
  <si>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</si>
  <si>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</si>
  <si>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</si>
  <si>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</si>
  <si>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</si>
  <si>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</si>
  <si>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</si>
  <si>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</si>
  <si>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</si>
  <si>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</si>
  <si>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</si>
  <si>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</si>
  <si>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</si>
  <si>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</si>
  <si>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</si>
  <si>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</si>
  <si>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</si>
  <si>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</si>
  <si>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</si>
  <si>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</si>
  <si>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</si>
  <si>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</si>
  <si>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</si>
  <si>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</si>
  <si>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</si>
  <si>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</si>
  <si>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</si>
  <si>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</si>
  <si>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</si>
  <si>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</si>
  <si>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</si>
  <si>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</si>
  <si>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</si>
  <si>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</si>
  <si>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</si>
  <si>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</si>
  <si>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</si>
  <si>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</si>
  <si>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</si>
  <si>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</si>
  <si>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</si>
  <si>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</si>
  <si>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</si>
  <si>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</si>
  <si>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</si>
  <si>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</si>
  <si>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</si>
  <si>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</si>
  <si>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</si>
  <si>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</si>
  <si>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</si>
  <si>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</si>
  <si>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</si>
  <si>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</si>
  <si>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</si>
  <si>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</si>
  <si>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</si>
  <si>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</si>
  <si>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</si>
  <si>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</si>
  <si>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</si>
  <si>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</si>
  <si>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</si>
  <si>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</si>
  <si>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</si>
  <si>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</si>
  <si>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</si>
  <si>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</si>
  <si>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</si>
  <si>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</si>
  <si>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</si>
  <si>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</si>
  <si>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</si>
  <si>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</si>
  <si>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</si>
  <si>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</si>
  <si>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</si>
  <si>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</si>
  <si>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</si>
  <si>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</si>
  <si>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</si>
  <si>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</si>
  <si>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</si>
  <si>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</si>
  <si>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</si>
  <si>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</si>
  <si>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</si>
  <si>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</si>
  <si>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</si>
  <si>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</si>
  <si>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</si>
  <si>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</si>
  <si>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</si>
  <si>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</si>
  <si>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</si>
  <si>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</si>
  <si>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</si>
  <si>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</si>
  <si>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</si>
  <si>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</si>
  <si>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</si>
  <si>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</si>
  <si>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</si>
  <si>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</si>
  <si>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</si>
  <si>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</si>
  <si>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</si>
  <si>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</si>
  <si>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</si>
  <si>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</si>
  <si>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</si>
  <si>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</si>
  <si>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</si>
  <si>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</si>
  <si>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</si>
  <si>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</si>
  <si>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</si>
  <si>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</si>
  <si>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</si>
  <si>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</si>
  <si>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</si>
  <si>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</si>
  <si>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</si>
  <si>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</si>
  <si>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</si>
  <si>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</si>
  <si>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</si>
  <si>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</si>
  <si>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</si>
  <si>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</si>
  <si>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</si>
  <si>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</si>
  <si>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</si>
  <si>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</si>
  <si>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</si>
  <si>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</si>
  <si>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</si>
  <si>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</si>
  <si>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</si>
  <si>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</si>
  <si>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</si>
  <si>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</si>
  <si>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</si>
  <si>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</si>
  <si>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</si>
  <si>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</si>
  <si>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</si>
  <si>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</si>
  <si>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</si>
  <si>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</si>
  <si>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</si>
  <si>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</si>
  <si>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</si>
  <si>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</si>
  <si>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</si>
  <si>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</si>
  <si>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</si>
  <si>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</si>
  <si>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</si>
  <si>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</si>
  <si>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</si>
  <si>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</si>
  <si>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</si>
  <si>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</si>
  <si>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</si>
  <si>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</si>
  <si>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</si>
  <si>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</si>
  <si>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</si>
  <si>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</si>
  <si>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</si>
  <si>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</si>
  <si>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</si>
  <si>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</si>
  <si>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</si>
  <si>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</si>
  <si>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</si>
  <si>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</si>
  <si>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</si>
  <si>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</si>
  <si>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</si>
  <si>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</si>
  <si>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</si>
  <si>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</si>
  <si>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</si>
  <si>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</si>
  <si>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</si>
  <si>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</si>
  <si>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</si>
  <si>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</si>
  <si>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</si>
  <si>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</si>
  <si>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</si>
  <si>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</si>
  <si>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</si>
  <si>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</si>
  <si>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</si>
  <si>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</si>
  <si>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</si>
  <si>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</si>
  <si>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</si>
  <si>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</si>
  <si>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</si>
  <si>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</si>
  <si>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</si>
  <si>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</si>
  <si>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</si>
  <si>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</si>
  <si>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</si>
  <si>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</si>
  <si>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</si>
  <si>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</si>
  <si>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</si>
  <si>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</si>
  <si>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</si>
  <si>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</si>
  <si>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</si>
  <si>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</si>
  <si>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</si>
  <si>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</si>
  <si>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</si>
  <si>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</si>
  <si>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</si>
  <si>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</si>
  <si>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</si>
  <si>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</si>
  <si>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</si>
  <si>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</si>
  <si>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</si>
  <si>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</si>
  <si>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</si>
  <si>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</si>
  <si>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</si>
  <si>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</si>
  <si>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</si>
  <si>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</si>
  <si>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</si>
  <si>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</si>
  <si>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</si>
  <si>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</si>
  <si>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</si>
  <si>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</si>
  <si>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</si>
  <si>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</si>
  <si>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</si>
  <si>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</si>
  <si>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</si>
  <si>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</si>
  <si>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</si>
  <si>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</si>
  <si>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</si>
  <si>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</si>
  <si>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</si>
  <si>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</si>
  <si>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</si>
  <si>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</si>
  <si>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</si>
  <si>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</si>
  <si>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</si>
  <si>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</si>
  <si>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</si>
  <si>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</si>
  <si>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</si>
  <si>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</si>
  <si>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</si>
  <si>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</si>
  <si>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</si>
  <si>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</si>
  <si>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</si>
  <si>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</si>
  <si>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</si>
  <si>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</si>
  <si>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</si>
  <si>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</si>
  <si>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</si>
  <si>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</si>
  <si>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</si>
  <si>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</si>
  <si>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</si>
  <si>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</si>
  <si>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</si>
  <si>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</si>
  <si>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</si>
  <si>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</si>
  <si>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</si>
  <si>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</si>
  <si>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</si>
  <si>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</si>
  <si>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</si>
  <si>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</si>
  <si>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</si>
  <si>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</si>
  <si>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</si>
  <si>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</si>
  <si>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</si>
  <si>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</si>
  <si>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</si>
  <si>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</si>
  <si>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</si>
  <si>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</si>
  <si>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</si>
  <si>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</si>
  <si>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</si>
  <si>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</si>
  <si>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</si>
  <si>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</si>
  <si>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</si>
  <si>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</si>
  <si>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</si>
  <si>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</si>
  <si>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</si>
  <si>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</si>
  <si>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</si>
  <si>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</si>
  <si>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</si>
  <si>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</si>
  <si>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</si>
  <si>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</si>
  <si>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</si>
  <si>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</si>
  <si>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</si>
  <si>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</si>
  <si>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</si>
  <si>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</si>
  <si>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</si>
  <si>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</si>
  <si>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</si>
  <si>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</si>
  <si>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</si>
  <si>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</si>
  <si>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</si>
  <si>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</si>
  <si>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</si>
  <si>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</si>
  <si>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</si>
  <si>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</si>
  <si>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</si>
  <si>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</si>
  <si>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</si>
  <si>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</si>
  <si>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</si>
  <si>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</si>
  <si>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</si>
  <si>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</si>
  <si>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</si>
  <si>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</si>
  <si>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</si>
  <si>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</si>
  <si>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</si>
  <si>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</si>
  <si>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</si>
  <si>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</si>
  <si>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</si>
  <si>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</si>
  <si>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</si>
  <si>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</si>
  <si>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</si>
  <si>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</si>
  <si>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</si>
  <si>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</si>
  <si>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</si>
  <si>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</si>
  <si>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</si>
  <si>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</si>
  <si>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</si>
  <si>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</si>
  <si>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</si>
  <si>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</si>
  <si>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</si>
  <si>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</si>
  <si>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</si>
  <si>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</si>
  <si>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</si>
  <si>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</si>
  <si>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</si>
  <si>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</si>
  <si>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</si>
  <si>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</si>
  <si>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</si>
  <si>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</si>
  <si>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</si>
  <si>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</si>
  <si>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</si>
  <si>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</si>
  <si>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</si>
  <si>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</si>
  <si>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</si>
  <si>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</si>
  <si>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</si>
  <si>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</si>
  <si>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</si>
  <si>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</si>
  <si>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</si>
  <si>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</si>
  <si>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</si>
  <si>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</si>
  <si>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</si>
  <si>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</si>
  <si>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</si>
  <si>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</si>
  <si>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</si>
  <si>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</si>
  <si>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</si>
  <si>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</si>
  <si>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</si>
  <si>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</si>
  <si>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</si>
  <si>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</si>
  <si>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</si>
  <si>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</si>
  <si>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</si>
  <si>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</si>
  <si>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</si>
  <si>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</si>
  <si>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</si>
  <si>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</si>
  <si>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</si>
  <si>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</si>
  <si>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</si>
  <si>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</si>
  <si>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</si>
  <si>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</si>
  <si>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</si>
  <si>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</si>
  <si>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</si>
  <si>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</si>
  <si>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</si>
  <si>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</si>
  <si>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</si>
  <si>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</si>
  <si>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</si>
  <si>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</si>
  <si>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</si>
  <si>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</si>
  <si>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</si>
  <si>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</si>
  <si>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</si>
  <si>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</si>
  <si>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</si>
  <si>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</si>
  <si>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</si>
  <si>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</si>
  <si>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</si>
  <si>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</si>
  <si>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</si>
  <si>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</si>
  <si>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</si>
  <si>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</si>
  <si>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</si>
  <si>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</si>
  <si>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</si>
  <si>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</si>
  <si>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</si>
  <si>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</si>
  <si>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</si>
  <si>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</si>
  <si>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</si>
  <si>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</si>
  <si>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</si>
  <si>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</si>
  <si>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</si>
  <si>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</si>
  <si>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</si>
  <si>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</si>
  <si>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</si>
  <si>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</si>
  <si>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</si>
  <si>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</si>
  <si>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</si>
  <si>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</si>
  <si>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</si>
  <si>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</si>
  <si>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</si>
  <si>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</si>
  <si>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</si>
  <si>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</si>
  <si>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</si>
  <si>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</si>
  <si>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</si>
  <si>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</si>
  <si>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</si>
  <si>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</si>
  <si>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</si>
  <si>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</si>
  <si>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</si>
  <si>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</si>
  <si>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</si>
  <si>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</si>
  <si>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</si>
  <si>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</si>
  <si>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</si>
  <si>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</si>
  <si>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</si>
  <si>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</si>
  <si>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</si>
  <si>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</si>
  <si>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</si>
  <si>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</si>
  <si>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</si>
  <si>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</si>
  <si>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</si>
  <si>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</si>
  <si>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</si>
  <si>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</si>
  <si>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</si>
  <si>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</si>
  <si>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</si>
  <si>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</si>
  <si>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</si>
  <si>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</si>
  <si>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</si>
  <si>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</si>
  <si>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</si>
  <si>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</si>
  <si>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</si>
  <si>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</si>
  <si>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</si>
  <si>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</si>
  <si>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</si>
  <si>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</si>
  <si>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</si>
  <si>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</si>
  <si>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</si>
  <si>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</si>
  <si>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</si>
  <si>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</si>
  <si>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</si>
  <si>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</si>
  <si>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</si>
  <si>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</si>
  <si>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</si>
  <si>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</si>
  <si>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</si>
  <si>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</si>
  <si>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</si>
  <si>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</si>
  <si>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</si>
  <si>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</si>
  <si>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</si>
  <si>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</si>
  <si>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</si>
  <si>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</si>
  <si>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</si>
  <si>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</si>
  <si>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</si>
  <si>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</si>
  <si>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</si>
  <si>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</si>
  <si>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</si>
  <si>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</si>
  <si>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</si>
  <si>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</si>
  <si>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</si>
  <si>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</si>
  <si>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</si>
  <si>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</si>
  <si>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</si>
  <si>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</si>
  <si>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</si>
  <si>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</si>
  <si>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</si>
  <si>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</si>
  <si>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</si>
  <si>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</si>
  <si>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</si>
  <si>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</si>
  <si>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</si>
  <si>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</si>
  <si>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</si>
  <si>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</si>
  <si>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</si>
  <si>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</si>
  <si>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</si>
  <si>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</si>
  <si>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</si>
  <si>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</si>
  <si>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</si>
  <si>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</si>
  <si>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</si>
  <si>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</si>
  <si>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</si>
  <si>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</si>
  <si>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</si>
  <si>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</si>
  <si>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</si>
  <si>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</si>
  <si>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</si>
  <si>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</si>
  <si>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</si>
  <si>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</si>
  <si>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</si>
  <si>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</si>
  <si>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</si>
  <si>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</si>
  <si>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</si>
  <si>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</si>
  <si>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</si>
  <si>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</si>
  <si>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</si>
  <si>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</si>
  <si>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</si>
  <si>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</si>
  <si>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</si>
  <si>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</si>
  <si>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</si>
  <si>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</si>
  <si>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</si>
  <si>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</si>
  <si>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</si>
  <si>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</si>
  <si>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</si>
  <si>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</si>
  <si>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</si>
  <si>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</si>
  <si>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</si>
  <si>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</si>
  <si>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</si>
  <si>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</si>
  <si>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</si>
  <si>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</si>
  <si>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</si>
  <si>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</si>
  <si>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</si>
  <si>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</si>
  <si>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</si>
  <si>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</si>
  <si>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</si>
  <si>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</si>
  <si>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</si>
  <si>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</si>
  <si>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</si>
  <si>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</si>
  <si>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</si>
  <si>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</si>
  <si>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</si>
  <si>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</si>
  <si>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</si>
  <si>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</si>
  <si>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</si>
  <si>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</si>
  <si>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</si>
  <si>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</si>
  <si>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</si>
  <si>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</si>
  <si>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</si>
  <si>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</si>
  <si>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</si>
  <si>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</si>
  <si>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</si>
  <si>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</si>
  <si>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</si>
  <si>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</si>
  <si>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</si>
  <si>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</si>
  <si>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</si>
  <si>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</si>
  <si>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</si>
  <si>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</si>
  <si>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</si>
  <si>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</si>
  <si>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</si>
  <si>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</si>
  <si>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</si>
  <si>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</si>
  <si>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</si>
  <si>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</si>
  <si>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</si>
  <si>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</si>
  <si>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</si>
  <si>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</si>
  <si>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</si>
  <si>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</si>
  <si>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</si>
  <si>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</si>
  <si>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</si>
  <si>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</si>
  <si>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</si>
  <si>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</si>
  <si>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</si>
  <si>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</si>
  <si>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</si>
  <si>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</si>
  <si>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</si>
  <si>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</si>
  <si>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</si>
  <si>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</si>
  <si>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</si>
  <si>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</si>
  <si>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</si>
  <si>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</si>
  <si>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</si>
  <si>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</si>
  <si>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</si>
  <si>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</si>
  <si>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</si>
  <si>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</si>
  <si>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</si>
  <si>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</si>
  <si>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</si>
  <si>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</si>
  <si>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</si>
  <si>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</si>
  <si>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</si>
  <si>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</si>
  <si>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</si>
  <si>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</si>
  <si>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</si>
  <si>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</si>
  <si>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</si>
  <si>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</si>
  <si>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</si>
  <si>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</si>
  <si>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</si>
  <si>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</si>
  <si>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</si>
  <si>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</si>
  <si>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</si>
  <si>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</si>
  <si>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</si>
  <si>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</si>
  <si>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</si>
  <si>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</si>
  <si>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</si>
  <si>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</si>
  <si>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</si>
  <si>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</si>
  <si>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</si>
  <si>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</si>
  <si>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</si>
  <si>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</si>
  <si>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</si>
  <si>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</si>
  <si>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</si>
  <si>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</si>
  <si>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</si>
  <si>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</si>
  <si>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</si>
  <si>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</si>
  <si>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</si>
  <si>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</si>
  <si>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</si>
  <si>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</si>
  <si>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</si>
  <si>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</si>
  <si>
    <t>www/media/fiches/aculepeira_ceropegia_femelle.webp</t>
  </si>
  <si>
    <t>www/media/fiches/atypus_affinis_femelle.webp</t>
  </si>
  <si>
    <t>www/media/fiches/atypus_piceus_femelle.webp</t>
  </si>
  <si>
    <t>www/media/fiches/dysdera_erythrina_femelle.webp</t>
  </si>
  <si>
    <t>www/media/fiches/cicurina_cicur_femelle.webp</t>
  </si>
  <si>
    <t>www/media/fiches/crustulina_guttata_femelle.webp</t>
  </si>
  <si>
    <t>www/media/fiches/cercidia_prominens_femelle.webp</t>
  </si>
  <si>
    <t>www/media/fiches/crustulina_guttata_male.webp</t>
  </si>
  <si>
    <t>www/media/fiches/episinus_angulatus_femelle.webp</t>
  </si>
  <si>
    <t>www/media/fiches/heliophanus_kochii_femelle.webp</t>
  </si>
  <si>
    <t>www/media/fiches/kochiura_aulica_femelle.webp</t>
  </si>
  <si>
    <t>www/media/fiches/neoscona_adianta_femelle.webp</t>
  </si>
  <si>
    <t>www/media/fiches/neriene_emphana_femelle.webp</t>
  </si>
  <si>
    <t>www/media/fiches/olios_argelasius_male.webp</t>
  </si>
  <si>
    <t>www/media/fiches/oxyopes_heterophthalmus_femelle.webp</t>
  </si>
  <si>
    <t>www/media/fiches/oxyopes_ramosus_femelle.webp</t>
  </si>
  <si>
    <t>www/media/fiches/porrhomma_pygmaeum_femelle.webp</t>
  </si>
  <si>
    <t>www/media/fiches/araneus_sturmi_femelle.webp</t>
  </si>
  <si>
    <t>www/media/fiches/salticus_zebraneus_femelle.webp</t>
  </si>
  <si>
    <t>www/media/fiches/salticus_zebraneus_male.webp</t>
  </si>
  <si>
    <t>www/media/fiches/theridion_varians_femelle.webp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</si>
</sst>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587" zoomScale="80" zoomScaleNormal="80" workbookViewId="0">
      <selection activeCell="D606" sqref="D606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848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908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851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914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1</v>
      </c>
      <c r="D26" t="s">
        <v>915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877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882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852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1</v>
      </c>
      <c r="D33" t="s">
        <v>932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844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868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D39" t="s">
        <v>921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883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884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1</v>
      </c>
      <c r="D56" t="s">
        <v>926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1</v>
      </c>
      <c r="D63" t="s">
        <v>916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1</v>
      </c>
      <c r="D64" t="s">
        <v>917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856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849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872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864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899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1</v>
      </c>
      <c r="D109" t="s">
        <v>918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850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907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840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861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4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4" x14ac:dyDescent="0.3">
      <c r="A162" t="s">
        <v>153</v>
      </c>
      <c r="B162" t="s">
        <v>659</v>
      </c>
      <c r="C162" t="b">
        <f>OR(Tableau1[[#This Row],[femelle]]&lt;&gt;"", Tableau1[[#This Row],[male]]&lt;&gt;"")</f>
        <v>1</v>
      </c>
      <c r="D162" t="s">
        <v>919</v>
      </c>
    </row>
    <row r="163" spans="1:4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4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4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4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4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4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4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4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4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4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4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4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4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4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888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874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1</v>
      </c>
      <c r="D275" t="s">
        <v>927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841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853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1</v>
      </c>
      <c r="D307" t="s">
        <v>931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891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878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879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880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881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863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846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847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858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906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857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854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1</v>
      </c>
      <c r="D430" t="s">
        <v>929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859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1</v>
      </c>
      <c r="D433" t="s">
        <v>930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870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905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873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867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876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886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887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1</v>
      </c>
      <c r="D485" t="s">
        <v>924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892</v>
      </c>
      <c r="E491" t="s">
        <v>893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898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903</v>
      </c>
      <c r="E503" t="s">
        <v>904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842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843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912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869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D514" t="s">
        <v>933</v>
      </c>
      <c r="E514" t="s">
        <v>934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895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897</v>
      </c>
      <c r="E528" t="s">
        <v>896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1</v>
      </c>
      <c r="E529" t="s">
        <v>928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894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875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901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823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824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866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885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1</v>
      </c>
      <c r="D548" t="s">
        <v>920</v>
      </c>
      <c r="E548" t="s">
        <v>922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845</v>
      </c>
      <c r="E557" t="s">
        <v>825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871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826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1</v>
      </c>
      <c r="D562" t="s">
        <v>923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827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1</v>
      </c>
      <c r="D569" t="s">
        <v>925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828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909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860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829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1</v>
      </c>
      <c r="D605" t="s">
        <v>935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889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830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831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865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832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902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855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862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911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833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834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835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836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837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913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838</v>
      </c>
      <c r="E654" t="s">
        <v>839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2026-05-30T16:55:53Z</dcterms:modified>
</cp:coreProperties>
</file>